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194072\Downloads\"/>
    </mc:Choice>
  </mc:AlternateContent>
  <xr:revisionPtr revIDLastSave="0" documentId="13_ncr:1_{1730468B-6E6E-4721-83F2-7377D1C02DC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XRP Valuation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  <c r="B15" i="1"/>
  <c r="B17" i="1" s="1"/>
  <c r="B18" i="1" s="1"/>
  <c r="E14" i="1"/>
  <c r="B14" i="1"/>
  <c r="E13" i="1"/>
  <c r="E12" i="1"/>
  <c r="E11" i="1"/>
  <c r="E10" i="1"/>
  <c r="E9" i="1"/>
  <c r="E8" i="1"/>
  <c r="E7" i="1"/>
  <c r="E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8" authorId="0" shapeId="0" xr:uid="{00000000-0006-0000-0000-000001000000}">
      <text>
        <r>
          <rPr>
            <sz val="10"/>
            <rFont val="Arial"/>
            <family val="2"/>
          </rPr>
          <t>Formula: P_XRP = (V_util_total / (S * v)) + (m_SoV * A_SoV / S)
This combines utility demand (velocity model) + store-of-value demand (HODL/ETF/institutional capital).</t>
        </r>
      </text>
    </comment>
  </commentList>
</comments>
</file>

<file path=xl/sharedStrings.xml><?xml version="1.0" encoding="utf-8"?>
<sst xmlns="http://schemas.openxmlformats.org/spreadsheetml/2006/main" count="164" uniqueCount="154">
  <si>
    <t>XRP Combined Valuation Model (Utility + Store of Value)</t>
  </si>
  <si>
    <t>Dynamic model: Edit inputs → Price &amp; Chart update automatically</t>
  </si>
  <si>
    <t>INPUTS (Blue cells - edit these values)</t>
  </si>
  <si>
    <t>SENSITIVITY TABLE: How P_XRP changes with V_pay</t>
  </si>
  <si>
    <t>Circulating Supply S (XRP)</t>
  </si>
  <si>
    <t>V_pay Scenario (USD)</t>
  </si>
  <si>
    <t>Implied P_XRP (USD)</t>
  </si>
  <si>
    <t>Utility Velocity v (turns per year)</t>
  </si>
  <si>
    <t>V_pay - Annual Payments/Bridge Volume (USD)</t>
  </si>
  <si>
    <t>V_defi - Annual DeFi Volume using XRP (USD)</t>
  </si>
  <si>
    <t>V_other - Other Utility Volume (USD)</t>
  </si>
  <si>
    <t>A_SoV - Store of Value Capital (USD)</t>
  </si>
  <si>
    <t>m_SoV - Speculative Multiple on SoV</t>
  </si>
  <si>
    <t>CALCULATED VALUES</t>
  </si>
  <si>
    <t>V_util_total (Total Utility Volume USD)</t>
  </si>
  <si>
    <t>MC_util (Utility Market Cap USD)</t>
  </si>
  <si>
    <t>MC_SoV (Store of Value Market Cap USD)</t>
  </si>
  <si>
    <t>INSTRUCTIONS</t>
  </si>
  <si>
    <t>P_XRP (Implied Price per XRP in USD)</t>
  </si>
  <si>
    <t>1. Edit the BLUE input cells in column B (they have light blue background).</t>
  </si>
  <si>
    <t>2. The YELLOW highlighted cell B18 shows the current implied XRP price — it updates instantly.</t>
  </si>
  <si>
    <t>3. In the Sensitivity Table (columns D-E), change the V_pay values in column D to see different scenarios.</t>
  </si>
  <si>
    <t>4. The chart on the right automatically updates when you change any inputs or the sensitivity table.</t>
  </si>
  <si>
    <t>5. To analyze a different driver (e.g. Velocity or A_SoV), copy column D-E and adjust the formula in E to use the new varying cell.</t>
  </si>
  <si>
    <t>Formula used: P_XRP = (V_pay + V_defi + V_other) / (S × v)   +   (m_SoV × A_SoV) / S</t>
  </si>
  <si>
    <r>
      <t xml:space="preserve">The model you have is powerful because it separates </t>
    </r>
    <r>
      <rPr>
        <b/>
        <sz val="11"/>
        <color theme="1"/>
        <rFont val="Calibri"/>
        <family val="2"/>
        <charset val="1"/>
      </rPr>
      <t>Utility Demand</t>
    </r>
    <r>
      <rPr>
        <sz val="11"/>
        <color theme="1"/>
        <rFont val="Calibri"/>
        <family val="2"/>
        <charset val="1"/>
      </rPr>
      <t xml:space="preserve"> (how much value actually flows </t>
    </r>
    <r>
      <rPr>
        <i/>
        <sz val="11"/>
        <color theme="1"/>
        <rFont val="Calibri"/>
        <family val="2"/>
        <charset val="1"/>
      </rPr>
      <t>through</t>
    </r>
    <r>
      <rPr>
        <sz val="11"/>
        <color theme="1"/>
        <rFont val="Calibri"/>
        <family val="2"/>
        <charset val="1"/>
      </rPr>
      <t xml:space="preserve"> XRP) from </t>
    </r>
    <r>
      <rPr>
        <b/>
        <sz val="11"/>
        <color theme="1"/>
        <rFont val="Calibri"/>
        <family val="2"/>
        <charset val="1"/>
      </rPr>
      <t>Store-of-Value Demand</t>
    </r>
    <r>
      <rPr>
        <sz val="11"/>
        <color theme="1"/>
        <rFont val="Calibri"/>
        <family val="2"/>
        <charset val="1"/>
      </rPr>
      <t xml:space="preserve"> (how much capital is parked </t>
    </r>
    <r>
      <rPr>
        <i/>
        <sz val="11"/>
        <color theme="1"/>
        <rFont val="Calibri"/>
        <family val="2"/>
        <charset val="1"/>
      </rPr>
      <t>in</t>
    </r>
    <r>
      <rPr>
        <sz val="11"/>
        <color theme="1"/>
        <rFont val="Calibri"/>
        <family val="2"/>
        <charset val="1"/>
      </rPr>
      <t xml:space="preserve"> XRP long-term). Here’s practical guidance on choosing numbers for each input as of mid-2026, with reasoning you can use.</t>
    </r>
  </si>
  <si>
    <t>1. Circulating Supply (S)</t>
  </si>
  <si>
    <r>
      <t>Current realistic value</t>
    </r>
    <r>
      <rPr>
        <sz val="11"/>
        <color theme="1"/>
        <rFont val="Calibri"/>
        <family val="2"/>
        <charset val="1"/>
      </rPr>
      <t xml:space="preserve">: </t>
    </r>
    <r>
      <rPr>
        <b/>
        <sz val="11"/>
        <color theme="1"/>
        <rFont val="Calibri"/>
        <family val="2"/>
        <charset val="1"/>
      </rPr>
      <t>~61 billion XRP</t>
    </r>
  </si>
  <si>
    <t>This is the standard figure used in most models (total supply is 100B, with Ripple’s escrow releasing ~1B/month that gets used or re-locked).</t>
  </si>
  <si>
    <t>You can leave this mostly fixed or slightly increase it over multi-year projections (e.g., +1–2B per year).</t>
  </si>
  <si>
    <t>2. Utility Velocity (v)</t>
  </si>
  <si>
    <r>
      <t xml:space="preserve">This is </t>
    </r>
    <r>
      <rPr>
        <b/>
        <sz val="11"/>
        <color theme="1"/>
        <rFont val="Calibri"/>
        <family val="2"/>
        <charset val="1"/>
      </rPr>
      <t>how many times per year</t>
    </r>
    <r>
      <rPr>
        <sz val="11"/>
        <color theme="1"/>
        <rFont val="Calibri"/>
        <family val="2"/>
        <charset val="1"/>
      </rPr>
      <t xml:space="preserve"> an average XRP token is used in actual transactions.</t>
    </r>
  </si>
  <si>
    <t>Scenario</t>
  </si>
  <si>
    <t>Velocity (v)</t>
  </si>
  <si>
    <t>Reasoning</t>
  </si>
  <si>
    <t>Conservative</t>
  </si>
  <si>
    <t>5 – 8</t>
  </si>
  <si>
    <t>Mostly SoV behavior + slow payments adoption</t>
  </si>
  <si>
    <t>Base</t>
  </si>
  <si>
    <t>10 – 15</t>
  </si>
  <si>
    <t>Current blended reality (payments + some holding)</t>
  </si>
  <si>
    <t>Bullish</t>
  </si>
  <si>
    <t>20 – 40</t>
  </si>
  <si>
    <t>High usage in payments, DeFi, and RWA settlement</t>
  </si>
  <si>
    <t>Extreme</t>
  </si>
  <si>
    <t>50 – 100</t>
  </si>
  <si>
    <t>XRP becomes dominant global bridge asset</t>
  </si>
  <si>
    <r>
      <t>Tip</t>
    </r>
    <r>
      <rPr>
        <sz val="11"/>
        <color theme="1"/>
        <rFont val="Calibri"/>
        <family val="2"/>
        <charset val="1"/>
      </rPr>
      <t>: Payments corridors tend to have higher velocity. Pure HODL has very low velocity. Your blended number should reflect the mix.</t>
    </r>
  </si>
  <si>
    <t>3. V_pay – Annual Payments / Bridge / Settlement Volume (USD)</t>
  </si>
  <si>
    <r>
      <t xml:space="preserve">This is usually the </t>
    </r>
    <r>
      <rPr>
        <b/>
        <sz val="11"/>
        <color theme="1"/>
        <rFont val="Calibri"/>
        <family val="2"/>
        <charset val="1"/>
      </rPr>
      <t>biggest driver</t>
    </r>
    <r>
      <rPr>
        <sz val="11"/>
        <color theme="1"/>
        <rFont val="Calibri"/>
        <family val="2"/>
        <charset val="1"/>
      </rPr>
      <t xml:space="preserve"> in utility models.</t>
    </r>
  </si>
  <si>
    <r>
      <t>Global Context</t>
    </r>
    <r>
      <rPr>
        <sz val="11"/>
        <color theme="1"/>
        <rFont val="Calibri"/>
        <family val="2"/>
        <charset val="1"/>
      </rPr>
      <t>:</t>
    </r>
  </si>
  <si>
    <r>
      <t xml:space="preserve">Global cross-border payments market ≈ </t>
    </r>
    <r>
      <rPr>
        <b/>
        <sz val="11"/>
        <color theme="1"/>
        <rFont val="Calibri"/>
        <family val="2"/>
        <charset val="1"/>
      </rPr>
      <t>$150T – $208T+ per year</t>
    </r>
    <r>
      <rPr>
        <sz val="11"/>
        <color theme="1"/>
        <rFont val="Calibri"/>
        <family val="2"/>
        <charset val="1"/>
      </rPr>
      <t xml:space="preserve"> (wholesale + retail).</t>
    </r>
  </si>
  <si>
    <r>
      <t>Realistic XRP capture assumptions</t>
    </r>
    <r>
      <rPr>
        <sz val="11"/>
        <color theme="1"/>
        <rFont val="Calibri"/>
        <family val="2"/>
        <charset val="1"/>
      </rPr>
      <t xml:space="preserve"> (as of 2026):</t>
    </r>
  </si>
  <si>
    <t>V_pay (USD/year)</t>
  </si>
  <si>
    <t>Implied Capture</t>
  </si>
  <si>
    <t>$500B – $1.5T</t>
  </si>
  <si>
    <t>~0.3 – 1%</t>
  </si>
  <si>
    <t>Current ODL + RLUSD growth continues steadily</t>
  </si>
  <si>
    <t>$3T – $8T</t>
  </si>
  <si>
    <t>2 – 5%</t>
  </si>
  <si>
    <t>XRP gains meaningful share in key corridors + RWA/tokenized treasury settlement</t>
  </si>
  <si>
    <t>$15T – $40T</t>
  </si>
  <si>
    <t>8 – 20%</t>
  </si>
  <si>
    <t>XRP becomes a top-tier bridge asset (Ripple’s long-term ambition)</t>
  </si>
  <si>
    <t>Moon</t>
  </si>
  <si>
    <t>$50T+</t>
  </si>
  <si>
    <t>25%+</t>
  </si>
  <si>
    <t>Dominant global settlement layer</t>
  </si>
  <si>
    <r>
      <t>Current reality check</t>
    </r>
    <r>
      <rPr>
        <sz val="11"/>
        <color theme="1"/>
        <rFont val="Calibri"/>
        <family val="2"/>
        <charset val="1"/>
      </rPr>
      <t>: Ripple’s ODL + payments volume is still in the tens of billions cumulatively, so we’re early. Even $3–5T annual would be a huge leap.</t>
    </r>
  </si>
  <si>
    <t>4. V_defi + V_other</t>
  </si>
  <si>
    <t>These are currently smaller but growing.</t>
  </si>
  <si>
    <r>
      <t>V_defi</t>
    </r>
    <r>
      <rPr>
        <sz val="11"/>
        <color theme="1"/>
        <rFont val="Calibri"/>
        <family val="2"/>
        <charset val="1"/>
      </rPr>
      <t>: $50B – $300B+ in bullish cases (AMMs, lending collateral, RLUSD activity on XRPL)</t>
    </r>
  </si>
  <si>
    <r>
      <t>V_other</t>
    </r>
    <r>
      <rPr>
        <sz val="11"/>
        <color theme="1"/>
        <rFont val="Calibri"/>
        <family val="2"/>
        <charset val="1"/>
      </rPr>
      <t>: $10B – $100B+ (NFTs, micropayments, CBDC bridges, gaming, RWAs)</t>
    </r>
  </si>
  <si>
    <r>
      <t xml:space="preserve">Start conservative here — they won’t move the needle as much as </t>
    </r>
    <r>
      <rPr>
        <b/>
        <sz val="11"/>
        <color theme="1"/>
        <rFont val="Calibri"/>
        <family val="2"/>
        <charset val="1"/>
      </rPr>
      <t>V_pay</t>
    </r>
    <r>
      <rPr>
        <sz val="11"/>
        <color theme="1"/>
        <rFont val="Calibri"/>
        <family val="2"/>
        <charset val="1"/>
      </rPr>
      <t xml:space="preserve"> yet.</t>
    </r>
  </si>
  <si>
    <t>5. A_SoV – Store-of-Value Capital (USD)</t>
  </si>
  <si>
    <r>
      <t xml:space="preserve">This is the </t>
    </r>
    <r>
      <rPr>
        <b/>
        <sz val="11"/>
        <color theme="1"/>
        <rFont val="Calibri"/>
        <family val="2"/>
        <charset val="1"/>
      </rPr>
      <t>capital parked in XRP</t>
    </r>
    <r>
      <rPr>
        <sz val="11"/>
        <color theme="1"/>
        <rFont val="Calibri"/>
        <family val="2"/>
        <charset val="1"/>
      </rPr>
      <t xml:space="preserve"> as a long-term asset (ETFs + institutions + retail HODL).</t>
    </r>
  </si>
  <si>
    <t>Breakdown of realistic components (mid-2026):</t>
  </si>
  <si>
    <t>Component</t>
  </si>
  <si>
    <t>Base Case</t>
  </si>
  <si>
    <t>Notes</t>
  </si>
  <si>
    <t>XRP ETF AUM</t>
  </si>
  <si>
    <t>$1 – 2B</t>
  </si>
  <si>
    <t>$4 – 8B</t>
  </si>
  <si>
    <t>$15B – $30B+</t>
  </si>
  <si>
    <t>Current ~$1–1.5B. JPMorgan projected $4–8.4B first-year inflows</t>
  </si>
  <si>
    <t>Institutional + Corporate</t>
  </si>
  <si>
    <t>$5 – 15B</t>
  </si>
  <si>
    <t>$20 – 50B</t>
  </si>
  <si>
    <t>$80B – $150B</t>
  </si>
  <si>
    <t>18% of institutions already hold it; 25% plan to add in 2026</t>
  </si>
  <si>
    <t>Retail Long-term HODL</t>
  </si>
  <si>
    <t>$30 – 60B</t>
  </si>
  <si>
    <t>$80 – 150B</t>
  </si>
  <si>
    <t>$200B – $400B</t>
  </si>
  <si>
    <t>Self-custody + exchange cold storage. Exchange balances have been dropping significantly</t>
  </si>
  <si>
    <t>Total A_SoV</t>
  </si>
  <si>
    <t>$40 – 80B</t>
  </si>
  <si>
    <t>$100 – 200B</t>
  </si>
  <si>
    <t>$300B – $600B+</t>
  </si>
  <si>
    <t>—</t>
  </si>
  <si>
    <r>
      <t>Key insight</t>
    </r>
    <r>
      <rPr>
        <sz val="11"/>
        <color theme="1"/>
        <rFont val="Calibri"/>
        <family val="2"/>
        <charset val="1"/>
      </rPr>
      <t>: Even in a base case, A_SoV can be significantly larger than ETF AUM alone because of institutional treasuries and long-term holders.</t>
    </r>
  </si>
  <si>
    <t>6. m_SoV – Speculative Multiple on SoV Capital</t>
  </si>
  <si>
    <r>
      <t xml:space="preserve">This is the </t>
    </r>
    <r>
      <rPr>
        <b/>
        <sz val="11"/>
        <color theme="1"/>
        <rFont val="Calibri"/>
        <family val="2"/>
        <charset val="1"/>
      </rPr>
      <t>market premium</t>
    </r>
    <r>
      <rPr>
        <sz val="11"/>
        <color theme="1"/>
        <rFont val="Calibri"/>
        <family val="2"/>
        <charset val="1"/>
      </rPr>
      <t xml:space="preserve"> applied to the parked capital.</t>
    </r>
  </si>
  <si>
    <t>Multiple</t>
  </si>
  <si>
    <t>Meaning</t>
  </si>
  <si>
    <t>When it makes sense</t>
  </si>
  <si>
    <t>1.0x</t>
  </si>
  <si>
    <t>Pure fair value (no premium)</t>
  </si>
  <si>
    <t>Bear market or very early utility phase</t>
  </si>
  <si>
    <t>1.5 – 2.5x</t>
  </si>
  <si>
    <t>Moderate reflexivity</t>
  </si>
  <si>
    <t>Normal bull market</t>
  </si>
  <si>
    <t>3 – 5x</t>
  </si>
  <si>
    <t>Strong bull market</t>
  </si>
  <si>
    <t>High conviction + leverage</t>
  </si>
  <si>
    <t>6 – 10x+</t>
  </si>
  <si>
    <t>Mania / super-cycle</t>
  </si>
  <si>
    <t>Previous cycle peaks (seen with BTC and ETH)</t>
  </si>
  <si>
    <r>
      <t xml:space="preserve">Most serious models use </t>
    </r>
    <r>
      <rPr>
        <b/>
        <sz val="11"/>
        <color theme="1"/>
        <rFont val="Calibri"/>
        <family val="2"/>
        <charset val="1"/>
      </rPr>
      <t>2x – 4x</t>
    </r>
    <r>
      <rPr>
        <sz val="11"/>
        <color theme="1"/>
        <rFont val="Calibri"/>
        <family val="2"/>
        <charset val="1"/>
      </rPr>
      <t xml:space="preserve"> in base/bull cases.</t>
    </r>
  </si>
  <si>
    <t>Example Input Sets You Can Copy-Paste</t>
  </si>
  <si>
    <t>Here are three ready-to-use scenarios for your spreadsheet:</t>
  </si>
  <si>
    <t>Input</t>
  </si>
  <si>
    <t>Conservative (2026-27)</t>
  </si>
  <si>
    <t>Base Case (2027-28)</t>
  </si>
  <si>
    <t>Bullish (2029-30)</t>
  </si>
  <si>
    <t>Circulating Supply</t>
  </si>
  <si>
    <t>61B</t>
  </si>
  <si>
    <t>62B</t>
  </si>
  <si>
    <t>63B</t>
  </si>
  <si>
    <t>V_pay</t>
  </si>
  <si>
    <t>$1.5T</t>
  </si>
  <si>
    <t>$6T</t>
  </si>
  <si>
    <t>$25T</t>
  </si>
  <si>
    <t>V_defi</t>
  </si>
  <si>
    <t>$30B</t>
  </si>
  <si>
    <t>$150B</t>
  </si>
  <si>
    <t>$500B</t>
  </si>
  <si>
    <t>V_other</t>
  </si>
  <si>
    <t>$10B</t>
  </si>
  <si>
    <t>$50B</t>
  </si>
  <si>
    <t>A_SoV</t>
  </si>
  <si>
    <t>$60B</t>
  </si>
  <si>
    <t>$400B</t>
  </si>
  <si>
    <t>m_SoV</t>
  </si>
  <si>
    <t>Resulting P_XRP</t>
  </si>
  <si>
    <t>~$2 – 4</t>
  </si>
  <si>
    <t>$8 – 15</t>
  </si>
  <si>
    <t>$40 – 80+</t>
  </si>
  <si>
    <t>Quick Recommendations for You Right Now</t>
  </si>
  <si>
    <r>
      <t xml:space="preserve">Start with the </t>
    </r>
    <r>
      <rPr>
        <b/>
        <sz val="11"/>
        <color theme="1"/>
        <rFont val="Calibri"/>
        <family val="2"/>
        <charset val="1"/>
      </rPr>
      <t>Base Case</t>
    </r>
    <r>
      <rPr>
        <sz val="11"/>
        <color theme="1"/>
        <rFont val="Calibri"/>
        <family val="2"/>
        <charset val="1"/>
      </rPr>
      <t xml:space="preserve"> numbers above and play with them.</t>
    </r>
  </si>
  <si>
    <t>The two highest-leverage inputs are usually:</t>
  </si>
  <si>
    <r>
      <t>1. V_pay</t>
    </r>
    <r>
      <rPr>
        <sz val="11"/>
        <color theme="1"/>
        <rFont val="Calibri"/>
        <family val="2"/>
        <charset val="1"/>
      </rPr>
      <t xml:space="preserve"> (utility adoption)</t>
    </r>
  </si>
  <si>
    <r>
      <t>2. A_SoV</t>
    </r>
    <r>
      <rPr>
        <sz val="11"/>
        <color theme="1"/>
        <rFont val="Calibri"/>
        <family val="2"/>
        <charset val="1"/>
      </rPr>
      <t xml:space="preserve"> (institutional + ETF capital)</t>
    </r>
  </si>
  <si>
    <r>
      <t xml:space="preserve">Keep </t>
    </r>
    <r>
      <rPr>
        <b/>
        <sz val="11"/>
        <color theme="1"/>
        <rFont val="Calibri"/>
        <family val="2"/>
        <charset val="1"/>
      </rPr>
      <t>m_SoV</t>
    </r>
    <r>
      <rPr>
        <sz val="11"/>
        <color theme="1"/>
        <rFont val="Calibri"/>
        <family val="2"/>
        <charset val="1"/>
      </rPr>
      <t xml:space="preserve"> between 2–4x unless you’re modeling a true mania phase.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</si>
</sst>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.00"/>
  </numFmts>
  <fonts count="14" x14ac:knownFonts="1">
    <font>
      <sz val="11"/>
      <color theme="1"/>
      <name val="Calibri"/>
      <family val="2"/>
      <charset val="1"/>
    </font>
    <font>
      <b/>
      <sz val="16"/>
      <color rgb="FF1F4E79"/>
      <name val="Cambria"/>
      <charset val="1"/>
    </font>
    <font>
      <i/>
      <sz val="11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11"/>
      <color rgb="FF0000FF"/>
      <name val="Cambria"/>
      <charset val="1"/>
    </font>
    <font>
      <sz val="11"/>
      <color rgb="FF0000FF"/>
      <name val="Cambria"/>
      <charset val="1"/>
    </font>
    <font>
      <b/>
      <sz val="11"/>
      <color rgb="FFC00000"/>
      <name val="Cambria"/>
      <charset val="1"/>
    </font>
    <font>
      <b/>
      <sz val="14"/>
      <color rgb="FFFFFFFF"/>
      <name val="Cambria"/>
      <charset val="1"/>
    </font>
    <font>
      <sz val="10"/>
      <name val="Cambria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3.5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6F2FF"/>
        <bgColor rgb="FFFFFFFF"/>
      </patternFill>
    </fill>
    <fill>
      <patternFill patternType="solid">
        <fgColor rgb="FFD9EAD3"/>
        <bgColor rgb="FFD9D9D9"/>
      </patternFill>
    </fill>
    <fill>
      <patternFill patternType="solid">
        <fgColor rgb="FF2E7D32"/>
        <bgColor rgb="FF008000"/>
      </patternFill>
    </fill>
    <fill>
      <patternFill patternType="solid">
        <fgColor rgb="FFFFC107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5" borderId="0" xfId="0" applyFont="1" applyFill="1" applyBorder="1"/>
    <xf numFmtId="0" fontId="4" fillId="0" borderId="0" xfId="0" applyFont="1" applyBorder="1"/>
    <xf numFmtId="0" fontId="3" fillId="2" borderId="0" xfId="0" applyFont="1" applyFill="1" applyBorder="1"/>
    <xf numFmtId="0" fontId="1" fillId="0" borderId="0" xfId="0" applyFont="1" applyBorder="1"/>
    <xf numFmtId="0" fontId="2" fillId="0" borderId="0" xfId="0" applyFont="1"/>
    <xf numFmtId="0" fontId="0" fillId="0" borderId="1" xfId="0" applyFont="1" applyBorder="1"/>
    <xf numFmtId="3" fontId="5" fillId="3" borderId="1" xfId="0" applyNumberFormat="1" applyFont="1" applyFill="1" applyBorder="1"/>
    <xf numFmtId="0" fontId="4" fillId="4" borderId="0" xfId="0" applyFont="1" applyFill="1"/>
    <xf numFmtId="164" fontId="5" fillId="3" borderId="1" xfId="0" applyNumberFormat="1" applyFont="1" applyFill="1" applyBorder="1"/>
    <xf numFmtId="3" fontId="6" fillId="0" borderId="0" xfId="0" applyNumberFormat="1" applyFont="1"/>
    <xf numFmtId="165" fontId="0" fillId="0" borderId="0" xfId="0" applyNumberFormat="1"/>
    <xf numFmtId="2" fontId="5" fillId="3" borderId="1" xfId="0" applyNumberFormat="1" applyFont="1" applyFill="1" applyBorder="1"/>
    <xf numFmtId="3" fontId="0" fillId="0" borderId="0" xfId="0" applyNumberFormat="1"/>
    <xf numFmtId="0" fontId="7" fillId="0" borderId="0" xfId="0" applyFont="1"/>
    <xf numFmtId="165" fontId="8" fillId="6" borderId="0" xfId="0" applyNumberFormat="1" applyFont="1" applyFill="1"/>
    <xf numFmtId="0" fontId="9" fillId="0" borderId="0" xfId="0" applyFont="1"/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6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F6600"/>
      <rgbColor rgb="FF4A7EBB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XRP Implied Price vs Annual Payments/Bridge Volume (V_pay)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'XRP Valuation Model'!$E$5</c:f>
              <c:strCache>
                <c:ptCount val="1"/>
                <c:pt idx="0">
                  <c:v>Implied P_XRP (USD)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'XRP Valuation Model'!$D$6:$D$14</c:f>
              <c:numCache>
                <c:formatCode>#,##0</c:formatCode>
                <c:ptCount val="9"/>
                <c:pt idx="0">
                  <c:v>500000000000</c:v>
                </c:pt>
                <c:pt idx="1">
                  <c:v>1000000000000</c:v>
                </c:pt>
                <c:pt idx="2">
                  <c:v>1500000000000</c:v>
                </c:pt>
                <c:pt idx="3">
                  <c:v>3000000000000</c:v>
                </c:pt>
                <c:pt idx="4">
                  <c:v>5000000000000</c:v>
                </c:pt>
                <c:pt idx="5">
                  <c:v>10000000000000</c:v>
                </c:pt>
                <c:pt idx="6">
                  <c:v>20000000000000</c:v>
                </c:pt>
                <c:pt idx="7">
                  <c:v>50000000000000</c:v>
                </c:pt>
                <c:pt idx="8">
                  <c:v>100000000000000</c:v>
                </c:pt>
              </c:numCache>
            </c:numRef>
          </c:cat>
          <c:val>
            <c:numRef>
              <c:f>'XRP Valuation Model'!$E$6:$E$14</c:f>
              <c:numCache>
                <c:formatCode>\$#,##0.00</c:formatCode>
                <c:ptCount val="9"/>
                <c:pt idx="0">
                  <c:v>2.2513661202185791</c:v>
                </c:pt>
                <c:pt idx="1">
                  <c:v>2.7978142076502732</c:v>
                </c:pt>
                <c:pt idx="2">
                  <c:v>3.3442622950819674</c:v>
                </c:pt>
                <c:pt idx="3">
                  <c:v>4.9836065573770494</c:v>
                </c:pt>
                <c:pt idx="4">
                  <c:v>7.1693989071038251</c:v>
                </c:pt>
                <c:pt idx="5">
                  <c:v>12.633879781420767</c:v>
                </c:pt>
                <c:pt idx="6">
                  <c:v>23.562841530054644</c:v>
                </c:pt>
                <c:pt idx="7">
                  <c:v>56.349726775956285</c:v>
                </c:pt>
                <c:pt idx="8">
                  <c:v>110.99453551912569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DB-4664-A26D-DCD644915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164228"/>
        <c:axId val="51146763"/>
      </c:lineChart>
      <c:catAx>
        <c:axId val="30164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V_pay - Annual Payments Volume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46763"/>
        <c:crosses val="autoZero"/>
        <c:auto val="1"/>
        <c:lblAlgn val="ctr"/>
        <c:lblOffset val="100"/>
        <c:noMultiLvlLbl val="0"/>
      </c:catAx>
      <c:valAx>
        <c:axId val="51146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Implied XRP Price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164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131040</xdr:rowOff>
    </xdr:from>
    <xdr:to>
      <xdr:col>15</xdr:col>
      <xdr:colOff>246795</xdr:colOff>
      <xdr:row>21</xdr:row>
      <xdr:rowOff>87075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zoomScaleNormal="100" workbookViewId="0">
      <selection activeCell="E14" sqref="E14"/>
    </sheetView>
  </sheetViews>
  <sheetFormatPr defaultColWidth="8.6640625" defaultRowHeight="14.4" x14ac:dyDescent="0.3"/>
  <cols>
    <col min="1" max="1" width="48" customWidth="1"/>
    <col min="2" max="2" width="20" customWidth="1"/>
    <col min="4" max="4" width="24" customWidth="1"/>
    <col min="5" max="5" width="22" customWidth="1"/>
  </cols>
  <sheetData>
    <row r="1" spans="1:5" ht="20.399999999999999" x14ac:dyDescent="0.35">
      <c r="A1" s="4" t="s">
        <v>0</v>
      </c>
      <c r="B1" s="4"/>
      <c r="C1" s="4"/>
      <c r="D1" s="4"/>
      <c r="E1" s="4"/>
    </row>
    <row r="2" spans="1:5" x14ac:dyDescent="0.3">
      <c r="A2" s="5" t="s">
        <v>1</v>
      </c>
    </row>
    <row r="4" spans="1:5" ht="15.6" x14ac:dyDescent="0.3">
      <c r="A4" s="3" t="s">
        <v>2</v>
      </c>
      <c r="B4" s="3"/>
      <c r="D4" s="2" t="s">
        <v>3</v>
      </c>
      <c r="E4" s="2"/>
    </row>
    <row r="5" spans="1:5" x14ac:dyDescent="0.3">
      <c r="A5" s="6" t="s">
        <v>4</v>
      </c>
      <c r="B5" s="7">
        <v>61000000000</v>
      </c>
      <c r="D5" s="8" t="s">
        <v>5</v>
      </c>
      <c r="E5" s="8" t="s">
        <v>6</v>
      </c>
    </row>
    <row r="6" spans="1:5" x14ac:dyDescent="0.3">
      <c r="A6" s="6" t="s">
        <v>7</v>
      </c>
      <c r="B6" s="9">
        <v>15</v>
      </c>
      <c r="D6" s="10">
        <v>500000000000</v>
      </c>
      <c r="E6" s="11">
        <f t="shared" ref="E6:E14" si="0">IF(D6="","",((D6+$B$8+$B$9)/($B$5*$B$6))+($B$11*$B$10)/$B$5)</f>
        <v>2.2513661202185791</v>
      </c>
    </row>
    <row r="7" spans="1:5" x14ac:dyDescent="0.3">
      <c r="A7" s="6" t="s">
        <v>8</v>
      </c>
      <c r="B7" s="7">
        <v>1500000000000</v>
      </c>
      <c r="D7" s="10">
        <v>1000000000000</v>
      </c>
      <c r="E7" s="11">
        <f t="shared" si="0"/>
        <v>2.7978142076502732</v>
      </c>
    </row>
    <row r="8" spans="1:5" x14ac:dyDescent="0.3">
      <c r="A8" s="6" t="s">
        <v>9</v>
      </c>
      <c r="B8" s="7">
        <v>50000000000</v>
      </c>
      <c r="D8" s="10">
        <v>1500000000000</v>
      </c>
      <c r="E8" s="11">
        <f t="shared" si="0"/>
        <v>3.3442622950819674</v>
      </c>
    </row>
    <row r="9" spans="1:5" x14ac:dyDescent="0.3">
      <c r="A9" s="6" t="s">
        <v>10</v>
      </c>
      <c r="B9" s="7">
        <v>10000000000</v>
      </c>
      <c r="D9" s="10">
        <v>3000000000000</v>
      </c>
      <c r="E9" s="11">
        <f t="shared" si="0"/>
        <v>4.9836065573770494</v>
      </c>
    </row>
    <row r="10" spans="1:5" x14ac:dyDescent="0.3">
      <c r="A10" s="6" t="s">
        <v>11</v>
      </c>
      <c r="B10" s="7">
        <v>50000000000</v>
      </c>
      <c r="D10" s="10">
        <v>5000000000000</v>
      </c>
      <c r="E10" s="11">
        <f t="shared" si="0"/>
        <v>7.1693989071038251</v>
      </c>
    </row>
    <row r="11" spans="1:5" x14ac:dyDescent="0.3">
      <c r="A11" s="6" t="s">
        <v>12</v>
      </c>
      <c r="B11" s="12">
        <v>2</v>
      </c>
      <c r="D11" s="10">
        <v>10000000000000</v>
      </c>
      <c r="E11" s="11">
        <f t="shared" si="0"/>
        <v>12.633879781420767</v>
      </c>
    </row>
    <row r="12" spans="1:5" x14ac:dyDescent="0.3">
      <c r="D12" s="10">
        <v>20000000000000</v>
      </c>
      <c r="E12" s="11">
        <f t="shared" si="0"/>
        <v>23.562841530054644</v>
      </c>
    </row>
    <row r="13" spans="1:5" ht="15.6" x14ac:dyDescent="0.3">
      <c r="A13" s="1" t="s">
        <v>13</v>
      </c>
      <c r="B13" s="1"/>
      <c r="D13" s="10">
        <v>50000000000000</v>
      </c>
      <c r="E13" s="11">
        <f t="shared" si="0"/>
        <v>56.349726775956285</v>
      </c>
    </row>
    <row r="14" spans="1:5" x14ac:dyDescent="0.3">
      <c r="A14" t="s">
        <v>14</v>
      </c>
      <c r="B14" s="13">
        <f>B7+B8+B9</f>
        <v>1560000000000</v>
      </c>
      <c r="D14" s="10">
        <v>100000000000000</v>
      </c>
      <c r="E14" s="11">
        <f t="shared" si="0"/>
        <v>110.99453551912569</v>
      </c>
    </row>
    <row r="15" spans="1:5" x14ac:dyDescent="0.3">
      <c r="A15" t="s">
        <v>15</v>
      </c>
      <c r="B15" s="13">
        <f>B14/B6</f>
        <v>104000000000</v>
      </c>
    </row>
    <row r="16" spans="1:5" x14ac:dyDescent="0.3">
      <c r="A16" t="s">
        <v>16</v>
      </c>
      <c r="B16" s="13">
        <f>B11*B10</f>
        <v>100000000000</v>
      </c>
    </row>
    <row r="17" spans="1:2" x14ac:dyDescent="0.3">
      <c r="A17" s="14" t="s">
        <v>17</v>
      </c>
      <c r="B17" s="13">
        <f>B15+B16</f>
        <v>204000000000</v>
      </c>
    </row>
    <row r="18" spans="1:2" ht="17.399999999999999" x14ac:dyDescent="0.3">
      <c r="A18" t="s">
        <v>18</v>
      </c>
      <c r="B18" s="15">
        <f>B17/B5</f>
        <v>3.3442622950819674</v>
      </c>
    </row>
    <row r="19" spans="1:2" x14ac:dyDescent="0.3">
      <c r="A19" s="16" t="s">
        <v>19</v>
      </c>
    </row>
    <row r="20" spans="1:2" x14ac:dyDescent="0.3">
      <c r="A20" s="16" t="s">
        <v>20</v>
      </c>
    </row>
    <row r="21" spans="1:2" x14ac:dyDescent="0.3">
      <c r="A21" s="16" t="s">
        <v>21</v>
      </c>
    </row>
    <row r="22" spans="1:2" x14ac:dyDescent="0.3">
      <c r="A22" s="16" t="s">
        <v>22</v>
      </c>
    </row>
    <row r="23" spans="1:2" x14ac:dyDescent="0.3">
      <c r="A23" s="16" t="s">
        <v>23</v>
      </c>
    </row>
    <row r="24" spans="1:2" x14ac:dyDescent="0.3">
      <c r="A24" s="16"/>
    </row>
    <row r="25" spans="1:2" x14ac:dyDescent="0.3">
      <c r="A25" s="16" t="s">
        <v>24</v>
      </c>
    </row>
    <row r="29" spans="1:2" x14ac:dyDescent="0.3">
      <c r="A29" t="s">
        <v>25</v>
      </c>
    </row>
    <row r="31" spans="1:2" ht="18" x14ac:dyDescent="0.3">
      <c r="A31" s="17" t="s">
        <v>26</v>
      </c>
    </row>
    <row r="32" spans="1:2" x14ac:dyDescent="0.3">
      <c r="A32" s="18"/>
    </row>
    <row r="33" spans="1:3" x14ac:dyDescent="0.3">
      <c r="A33" s="20" t="s">
        <v>27</v>
      </c>
    </row>
    <row r="34" spans="1:3" x14ac:dyDescent="0.3">
      <c r="A34" s="18" t="s">
        <v>28</v>
      </c>
    </row>
    <row r="35" spans="1:3" x14ac:dyDescent="0.3">
      <c r="A35" s="18" t="s">
        <v>29</v>
      </c>
    </row>
    <row r="37" spans="1:3" ht="18" x14ac:dyDescent="0.3">
      <c r="A37" s="17" t="s">
        <v>30</v>
      </c>
    </row>
    <row r="39" spans="1:3" x14ac:dyDescent="0.3">
      <c r="A39" t="s">
        <v>31</v>
      </c>
    </row>
    <row r="41" spans="1:3" ht="28.8" x14ac:dyDescent="0.3">
      <c r="A41" s="21" t="s">
        <v>32</v>
      </c>
      <c r="B41" s="21" t="s">
        <v>33</v>
      </c>
      <c r="C41" s="21" t="s">
        <v>34</v>
      </c>
    </row>
    <row r="42" spans="1:3" ht="100.8" x14ac:dyDescent="0.3">
      <c r="A42" s="23" t="s">
        <v>35</v>
      </c>
      <c r="B42" s="22" t="s">
        <v>36</v>
      </c>
      <c r="C42" s="22" t="s">
        <v>37</v>
      </c>
    </row>
    <row r="43" spans="1:3" ht="86.4" x14ac:dyDescent="0.3">
      <c r="A43" s="23" t="s">
        <v>38</v>
      </c>
      <c r="B43" s="23" t="s">
        <v>39</v>
      </c>
      <c r="C43" s="22" t="s">
        <v>40</v>
      </c>
    </row>
    <row r="44" spans="1:3" ht="100.8" x14ac:dyDescent="0.3">
      <c r="A44" s="23" t="s">
        <v>41</v>
      </c>
      <c r="B44" s="22" t="s">
        <v>42</v>
      </c>
      <c r="C44" s="22" t="s">
        <v>43</v>
      </c>
    </row>
    <row r="45" spans="1:3" ht="86.4" x14ac:dyDescent="0.3">
      <c r="A45" s="23" t="s">
        <v>44</v>
      </c>
      <c r="B45" s="22" t="s">
        <v>45</v>
      </c>
      <c r="C45" s="22" t="s">
        <v>46</v>
      </c>
    </row>
    <row r="47" spans="1:3" x14ac:dyDescent="0.3">
      <c r="A47" s="19" t="s">
        <v>47</v>
      </c>
    </row>
    <row r="49" spans="1:4" ht="18" x14ac:dyDescent="0.3">
      <c r="A49" s="17" t="s">
        <v>48</v>
      </c>
    </row>
    <row r="51" spans="1:4" x14ac:dyDescent="0.3">
      <c r="A51" t="s">
        <v>49</v>
      </c>
    </row>
    <row r="53" spans="1:4" x14ac:dyDescent="0.3">
      <c r="A53" s="19" t="s">
        <v>50</v>
      </c>
    </row>
    <row r="54" spans="1:4" x14ac:dyDescent="0.3">
      <c r="A54" s="18"/>
    </row>
    <row r="55" spans="1:4" x14ac:dyDescent="0.3">
      <c r="A55" s="18" t="s">
        <v>51</v>
      </c>
    </row>
    <row r="57" spans="1:4" x14ac:dyDescent="0.3">
      <c r="A57" s="19" t="s">
        <v>52</v>
      </c>
    </row>
    <row r="59" spans="1:4" ht="28.8" x14ac:dyDescent="0.3">
      <c r="A59" s="21" t="s">
        <v>32</v>
      </c>
      <c r="B59" s="21" t="s">
        <v>53</v>
      </c>
      <c r="C59" s="21" t="s">
        <v>54</v>
      </c>
      <c r="D59" s="21" t="s">
        <v>34</v>
      </c>
    </row>
    <row r="60" spans="1:4" ht="28.8" x14ac:dyDescent="0.3">
      <c r="A60" s="23" t="s">
        <v>35</v>
      </c>
      <c r="B60" s="22" t="s">
        <v>55</v>
      </c>
      <c r="C60" s="22" t="s">
        <v>56</v>
      </c>
      <c r="D60" s="22" t="s">
        <v>57</v>
      </c>
    </row>
    <row r="61" spans="1:4" ht="57.6" x14ac:dyDescent="0.3">
      <c r="A61" s="23" t="s">
        <v>38</v>
      </c>
      <c r="B61" s="23" t="s">
        <v>58</v>
      </c>
      <c r="C61" s="22" t="s">
        <v>59</v>
      </c>
      <c r="D61" s="22" t="s">
        <v>60</v>
      </c>
    </row>
    <row r="62" spans="1:4" ht="43.2" x14ac:dyDescent="0.3">
      <c r="A62" s="23" t="s">
        <v>41</v>
      </c>
      <c r="B62" s="22" t="s">
        <v>61</v>
      </c>
      <c r="C62" s="22" t="s">
        <v>62</v>
      </c>
      <c r="D62" s="22" t="s">
        <v>63</v>
      </c>
    </row>
    <row r="63" spans="1:4" ht="28.8" x14ac:dyDescent="0.3">
      <c r="A63" s="23" t="s">
        <v>64</v>
      </c>
      <c r="B63" s="22" t="s">
        <v>65</v>
      </c>
      <c r="C63" s="22" t="s">
        <v>66</v>
      </c>
      <c r="D63" s="22" t="s">
        <v>67</v>
      </c>
    </row>
    <row r="65" spans="1:1" x14ac:dyDescent="0.3">
      <c r="A65" s="19" t="s">
        <v>68</v>
      </c>
    </row>
    <row r="67" spans="1:1" ht="18" x14ac:dyDescent="0.3">
      <c r="A67" s="17" t="s">
        <v>69</v>
      </c>
    </row>
    <row r="69" spans="1:1" x14ac:dyDescent="0.3">
      <c r="A69" t="s">
        <v>70</v>
      </c>
    </row>
    <row r="70" spans="1:1" x14ac:dyDescent="0.3">
      <c r="A70" s="18"/>
    </row>
    <row r="71" spans="1:1" x14ac:dyDescent="0.3">
      <c r="A71" s="20" t="s">
        <v>71</v>
      </c>
    </row>
    <row r="72" spans="1:1" x14ac:dyDescent="0.3">
      <c r="A72" s="20" t="s">
        <v>72</v>
      </c>
    </row>
    <row r="74" spans="1:1" x14ac:dyDescent="0.3">
      <c r="A74" t="s">
        <v>73</v>
      </c>
    </row>
    <row r="76" spans="1:1" ht="18" x14ac:dyDescent="0.3">
      <c r="A76" s="17" t="s">
        <v>74</v>
      </c>
    </row>
    <row r="78" spans="1:1" x14ac:dyDescent="0.3">
      <c r="A78" t="s">
        <v>75</v>
      </c>
    </row>
    <row r="80" spans="1:1" x14ac:dyDescent="0.3">
      <c r="A80" s="19" t="s">
        <v>76</v>
      </c>
    </row>
    <row r="82" spans="1:5" ht="28.8" x14ac:dyDescent="0.3">
      <c r="A82" s="21" t="s">
        <v>77</v>
      </c>
      <c r="B82" s="21" t="s">
        <v>35</v>
      </c>
      <c r="C82" s="21" t="s">
        <v>78</v>
      </c>
      <c r="D82" s="21" t="s">
        <v>41</v>
      </c>
      <c r="E82" s="21" t="s">
        <v>79</v>
      </c>
    </row>
    <row r="83" spans="1:5" ht="57.6" x14ac:dyDescent="0.3">
      <c r="A83" s="23" t="s">
        <v>80</v>
      </c>
      <c r="B83" s="22" t="s">
        <v>81</v>
      </c>
      <c r="C83" s="23" t="s">
        <v>82</v>
      </c>
      <c r="D83" s="22" t="s">
        <v>83</v>
      </c>
      <c r="E83" s="22" t="s">
        <v>84</v>
      </c>
    </row>
    <row r="84" spans="1:5" ht="43.2" x14ac:dyDescent="0.3">
      <c r="A84" s="23" t="s">
        <v>85</v>
      </c>
      <c r="B84" s="22" t="s">
        <v>86</v>
      </c>
      <c r="C84" s="22" t="s">
        <v>87</v>
      </c>
      <c r="D84" s="22" t="s">
        <v>88</v>
      </c>
      <c r="E84" s="22" t="s">
        <v>89</v>
      </c>
    </row>
    <row r="85" spans="1:5" ht="57.6" x14ac:dyDescent="0.3">
      <c r="A85" s="23" t="s">
        <v>90</v>
      </c>
      <c r="B85" s="22" t="s">
        <v>91</v>
      </c>
      <c r="C85" s="22" t="s">
        <v>92</v>
      </c>
      <c r="D85" s="22" t="s">
        <v>93</v>
      </c>
      <c r="E85" s="22" t="s">
        <v>94</v>
      </c>
    </row>
    <row r="86" spans="1:5" ht="28.8" x14ac:dyDescent="0.3">
      <c r="A86" s="23" t="s">
        <v>95</v>
      </c>
      <c r="B86" s="23" t="s">
        <v>96</v>
      </c>
      <c r="C86" s="23" t="s">
        <v>97</v>
      </c>
      <c r="D86" s="23" t="s">
        <v>98</v>
      </c>
      <c r="E86" s="22" t="s">
        <v>99</v>
      </c>
    </row>
    <row r="88" spans="1:5" x14ac:dyDescent="0.3">
      <c r="A88" s="19" t="s">
        <v>100</v>
      </c>
    </row>
    <row r="90" spans="1:5" ht="18" x14ac:dyDescent="0.3">
      <c r="A90" s="17" t="s">
        <v>101</v>
      </c>
    </row>
    <row r="92" spans="1:5" x14ac:dyDescent="0.3">
      <c r="A92" t="s">
        <v>102</v>
      </c>
    </row>
    <row r="94" spans="1:5" ht="43.2" x14ac:dyDescent="0.3">
      <c r="A94" s="21" t="s">
        <v>103</v>
      </c>
      <c r="B94" s="21" t="s">
        <v>104</v>
      </c>
      <c r="C94" s="21" t="s">
        <v>105</v>
      </c>
    </row>
    <row r="95" spans="1:5" ht="86.4" x14ac:dyDescent="0.3">
      <c r="A95" s="23" t="s">
        <v>106</v>
      </c>
      <c r="B95" s="22" t="s">
        <v>107</v>
      </c>
      <c r="C95" s="22" t="s">
        <v>108</v>
      </c>
    </row>
    <row r="96" spans="1:5" ht="43.2" x14ac:dyDescent="0.3">
      <c r="A96" s="23" t="s">
        <v>109</v>
      </c>
      <c r="B96" s="22" t="s">
        <v>110</v>
      </c>
      <c r="C96" s="22" t="s">
        <v>111</v>
      </c>
    </row>
    <row r="97" spans="1:4" ht="57.6" x14ac:dyDescent="0.3">
      <c r="A97" s="23" t="s">
        <v>112</v>
      </c>
      <c r="B97" s="22" t="s">
        <v>113</v>
      </c>
      <c r="C97" s="22" t="s">
        <v>114</v>
      </c>
    </row>
    <row r="98" spans="1:4" ht="86.4" x14ac:dyDescent="0.3">
      <c r="A98" s="23" t="s">
        <v>115</v>
      </c>
      <c r="B98" s="22" t="s">
        <v>116</v>
      </c>
      <c r="C98" s="22" t="s">
        <v>117</v>
      </c>
    </row>
    <row r="100" spans="1:4" x14ac:dyDescent="0.3">
      <c r="A100" t="s">
        <v>118</v>
      </c>
    </row>
    <row r="102" spans="1:4" ht="18" x14ac:dyDescent="0.3">
      <c r="A102" s="17" t="s">
        <v>119</v>
      </c>
    </row>
    <row r="104" spans="1:4" x14ac:dyDescent="0.3">
      <c r="A104" t="s">
        <v>120</v>
      </c>
    </row>
    <row r="106" spans="1:4" ht="57.6" x14ac:dyDescent="0.3">
      <c r="A106" s="21" t="s">
        <v>121</v>
      </c>
      <c r="B106" s="21" t="s">
        <v>122</v>
      </c>
      <c r="C106" s="21" t="s">
        <v>123</v>
      </c>
      <c r="D106" s="21" t="s">
        <v>124</v>
      </c>
    </row>
    <row r="107" spans="1:4" x14ac:dyDescent="0.3">
      <c r="A107" s="23" t="s">
        <v>125</v>
      </c>
      <c r="B107" s="22" t="s">
        <v>126</v>
      </c>
      <c r="C107" s="22" t="s">
        <v>127</v>
      </c>
      <c r="D107" s="22" t="s">
        <v>128</v>
      </c>
    </row>
    <row r="108" spans="1:4" x14ac:dyDescent="0.3">
      <c r="A108" s="23" t="s">
        <v>33</v>
      </c>
      <c r="B108" s="22">
        <v>8</v>
      </c>
      <c r="C108" s="23">
        <v>12</v>
      </c>
      <c r="D108" s="22">
        <v>25</v>
      </c>
    </row>
    <row r="109" spans="1:4" x14ac:dyDescent="0.3">
      <c r="A109" s="23" t="s">
        <v>129</v>
      </c>
      <c r="B109" s="22" t="s">
        <v>130</v>
      </c>
      <c r="C109" s="23" t="s">
        <v>131</v>
      </c>
      <c r="D109" s="22" t="s">
        <v>132</v>
      </c>
    </row>
    <row r="110" spans="1:4" x14ac:dyDescent="0.3">
      <c r="A110" s="23" t="s">
        <v>133</v>
      </c>
      <c r="B110" s="22" t="s">
        <v>134</v>
      </c>
      <c r="C110" s="22" t="s">
        <v>135</v>
      </c>
      <c r="D110" s="22" t="s">
        <v>136</v>
      </c>
    </row>
    <row r="111" spans="1:4" x14ac:dyDescent="0.3">
      <c r="A111" s="23" t="s">
        <v>137</v>
      </c>
      <c r="B111" s="22" t="s">
        <v>138</v>
      </c>
      <c r="C111" s="22" t="s">
        <v>139</v>
      </c>
      <c r="D111" s="22" t="s">
        <v>135</v>
      </c>
    </row>
    <row r="112" spans="1:4" x14ac:dyDescent="0.3">
      <c r="A112" s="23" t="s">
        <v>140</v>
      </c>
      <c r="B112" s="22" t="s">
        <v>141</v>
      </c>
      <c r="C112" s="23" t="s">
        <v>135</v>
      </c>
      <c r="D112" s="22" t="s">
        <v>142</v>
      </c>
    </row>
    <row r="113" spans="1:4" x14ac:dyDescent="0.3">
      <c r="A113" s="23" t="s">
        <v>143</v>
      </c>
      <c r="B113" s="22">
        <v>1.5</v>
      </c>
      <c r="C113" s="23">
        <v>2.5</v>
      </c>
      <c r="D113" s="22">
        <v>4</v>
      </c>
    </row>
    <row r="114" spans="1:4" x14ac:dyDescent="0.3">
      <c r="A114" s="23" t="s">
        <v>144</v>
      </c>
      <c r="B114" s="22" t="s">
        <v>145</v>
      </c>
      <c r="C114" s="23" t="s">
        <v>146</v>
      </c>
      <c r="D114" s="22" t="s">
        <v>147</v>
      </c>
    </row>
    <row r="116" spans="1:4" ht="18" x14ac:dyDescent="0.3">
      <c r="A116" s="17" t="s">
        <v>148</v>
      </c>
    </row>
    <row r="117" spans="1:4" x14ac:dyDescent="0.3">
      <c r="A117" s="18"/>
    </row>
    <row r="118" spans="1:4" x14ac:dyDescent="0.3">
      <c r="A118" s="18" t="s">
        <v>149</v>
      </c>
    </row>
    <row r="119" spans="1:4" x14ac:dyDescent="0.3">
      <c r="A119" s="18" t="s">
        <v>150</v>
      </c>
    </row>
    <row r="120" spans="1:4" x14ac:dyDescent="0.3">
      <c r="A120" s="24" t="s">
        <v>151</v>
      </c>
    </row>
    <row r="121" spans="1:4" x14ac:dyDescent="0.3">
      <c r="A121" s="24" t="s">
        <v>152</v>
      </c>
    </row>
    <row r="122" spans="1:4" x14ac:dyDescent="0.3">
      <c r="A122" s="18" t="s">
        <v>153</v>
      </c>
    </row>
  </sheetData>
  <mergeCells count="4">
    <mergeCell ref="A1:E1"/>
    <mergeCell ref="A4:B4"/>
    <mergeCell ref="D4:E4"/>
    <mergeCell ref="A13:B13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XRP Valuation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Wint, Peter A (US)</cp:lastModifiedBy>
  <cp:revision>1</cp:revision>
  <dcterms:created xsi:type="dcterms:W3CDTF">2026-07-06T13:54:15Z</dcterms:created>
  <dcterms:modified xsi:type="dcterms:W3CDTF">2026-07-06T14:06:03Z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Enabled">
    <vt:lpwstr>true</vt:lpwstr>
  </property>
  <property fmtid="{D5CDD505-2E9C-101B-9397-08002B2CF9AE}" pid="3" name="MSIP_Label_502bc7c3-f152-4da1-98bd-f7a1bebdf752_SetDate">
    <vt:lpwstr>2026-07-06T13:55:29Z</vt:lpwstr>
  </property>
  <property fmtid="{D5CDD505-2E9C-101B-9397-08002B2CF9AE}" pid="4" name="MSIP_Label_502bc7c3-f152-4da1-98bd-f7a1bebdf752_Method">
    <vt:lpwstr>Privileged</vt:lpwstr>
  </property>
  <property fmtid="{D5CDD505-2E9C-101B-9397-08002B2CF9AE}" pid="5" name="MSIP_Label_502bc7c3-f152-4da1-98bd-f7a1bebdf752_Name">
    <vt:lpwstr>Unrestricted</vt:lpwstr>
  </property>
  <property fmtid="{D5CDD505-2E9C-101B-9397-08002B2CF9AE}" pid="6" name="MSIP_Label_502bc7c3-f152-4da1-98bd-f7a1bebdf752_SiteId">
    <vt:lpwstr>b18f006c-b0fc-467d-b23a-a35b5695b5dc</vt:lpwstr>
  </property>
  <property fmtid="{D5CDD505-2E9C-101B-9397-08002B2CF9AE}" pid="7" name="MSIP_Label_502bc7c3-f152-4da1-98bd-f7a1bebdf752_ActionId">
    <vt:lpwstr>f6163c8b-9c0f-405d-aeff-0a18bcc2fe7a</vt:lpwstr>
  </property>
  <property fmtid="{D5CDD505-2E9C-101B-9397-08002B2CF9AE}" pid="8" name="MSIP_Label_502bc7c3-f152-4da1-98bd-f7a1bebdf752_ContentBits">
    <vt:lpwstr>0</vt:lpwstr>
  </property>
  <property fmtid="{D5CDD505-2E9C-101B-9397-08002B2CF9AE}" pid="9" name="MSIP_Label_502bc7c3-f152-4da1-98bd-f7a1bebdf752_Tag">
    <vt:lpwstr>10, 0, 1, 1</vt:lpwstr>
  </property>
</Properties>
</file>