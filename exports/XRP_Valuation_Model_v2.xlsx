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XRP Valuation Model v2" state="visible" r:id="rId4"/>
  </sheets>
  <calcPr calcId="171027"/>
</workbook>
</file>

<file path=xl/sharedStrings.xml><?xml version="1.0" encoding="utf-8"?>
<sst xmlns="http://schemas.openxmlformats.org/spreadsheetml/2006/main" count="51" uniqueCount="51">
  <si>
    <t>XRP Combined Valuation Model v2 (Utility + Store of Value, upgraded)</t>
  </si>
  <si>
    <t>CORE INPUTS (blue cells — edit these)</t>
  </si>
  <si>
    <t>S — Circulating Supply (tokens)</t>
  </si>
  <si>
    <t>Parked share — % of supply held long-term (set 0% to match original model)</t>
  </si>
  <si>
    <t>v — Utility Velocity (turns per year)</t>
  </si>
  <si>
    <t>V_pay — Annual Payments/Bridge Volume (USD)</t>
  </si>
  <si>
    <t>V_defi — Annual DeFi Volume (USD)</t>
  </si>
  <si>
    <t>V_other — Other Utility Volume (USD)</t>
  </si>
  <si>
    <t>A_SoV — Store of Value Capital (USD)</t>
  </si>
  <si>
    <t>m_SoV — Speculative Multiple on SoV</t>
  </si>
  <si>
    <t>Hurdle rate (required return per year, for discounting)</t>
  </si>
  <si>
    <t>Years until this scenario plays out</t>
  </si>
  <si>
    <t>CALCULATED</t>
  </si>
  <si>
    <t>V_util_total (Total Utility Volume USD)</t>
  </si>
  <si>
    <t>S_util — utility float = S × (1 − parked share)</t>
  </si>
  <si>
    <t>MC_util (Utility Market Cap USD) = V_util / v</t>
  </si>
  <si>
    <t>MC_SoV (Store of Value Market Cap USD) = m × A_SoV</t>
  </si>
  <si>
    <t>P_XRP — implied FUTURE price</t>
  </si>
  <si>
    <t>Implied market cap at that price (sanity check)</t>
  </si>
  <si>
    <t>P_XRP — worth TODAY (discounted at hurdle rate)</t>
  </si>
  <si>
    <t>Sanity anchors: gold ≈ $20T+, BTC ≈ low single-digit $T, largest company ≈ $4T. If B21 beats them all, you are modeling a new world order — know that consciously.</t>
  </si>
  <si>
    <t>SCENARIOS (each column is a full self-contained case — edit any blue cell)</t>
  </si>
  <si>
    <t/>
  </si>
  <si>
    <t>Bear</t>
  </si>
  <si>
    <t>Conservative</t>
  </si>
  <si>
    <t>Base</t>
  </si>
  <si>
    <t>Bullish</t>
  </si>
  <si>
    <t>S — Circulating Supply</t>
  </si>
  <si>
    <t>Parked share</t>
  </si>
  <si>
    <t>v — Velocity</t>
  </si>
  <si>
    <t>V_pay (USD/yr)</t>
  </si>
  <si>
    <t>V_defi (USD/yr)</t>
  </si>
  <si>
    <t>V_other (USD/yr)</t>
  </si>
  <si>
    <t>A_SoV (USD)</t>
  </si>
  <si>
    <t>m_SoV</t>
  </si>
  <si>
    <t>Probability you assign this case</t>
  </si>
  <si>
    <t>P_XRP future (this case)</t>
  </si>
  <si>
    <t>Implied market cap</t>
  </si>
  <si>
    <t>P_XRP worth today (discounted)</t>
  </si>
  <si>
    <t>PROBABILITY-WEIGHTED VALUE TODAY (expected value)</t>
  </si>
  <si>
    <t>TWO-WAY SENSITIVITY — future P_XRP as V_pay (rows) × m_SoV (columns); all other values come from CORE INPUTS</t>
  </si>
  <si>
    <t>V_pay ↓   /   m_SoV →</t>
  </si>
  <si>
    <t>THE VELOCITY TRAP: try v = 200 with V_pay = $25T in the core inputs — the utility term nearly vanishes. A pure bridge asset is held for seconds, so honest velocity can be huge. High adoption does NOT automatically mean high price.</t>
  </si>
  <si>
    <t>HOW TO USE</t>
  </si>
  <si>
    <t>1. Edit ONLY the blue cells. Yellow cells are the answers and update instantly.</t>
  </si>
  <si>
    <t>2. Works as-is in Excel, Google Sheets, LibreOffice and Apple Numbers — no add-ins, no links, everything is a normal formula.</t>
  </si>
  <si>
    <t>3. Set "Parked share" to 0% to reproduce your original model exactly. Above 0%, the coins parked for store-of-value are removed from the utility float, so the two halves stop double-counting the same supply.</t>
  </si>
  <si>
    <t>4. "Worth today" discounts the future price back at your hurdle rate — the difference between a possible future price and what it is worth now.</t>
  </si>
  <si>
    <t>5. The Scenarios block: give each case a probability and B41 gives you one probability-weighted number.</t>
  </si>
  <si>
    <t>6. The Bear column is a real failure case (stablecoins take the corridors, XRP keeps only its holder base). Knowing the floor matters as much as the moon.</t>
  </si>
  <si>
    <t>7. This is a thinking tool, not investment advice — the output is only as honest as the inputs.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</si>
</sst>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$&quot;#,##0,,,&quot;B&quot;"/>
    <numFmt numFmtId="165" formatCode="0.0"/>
    <numFmt numFmtId="166" formatCode="&quot;$&quot;#,##0.00"/>
  </numFmts>
  <fonts count="5" x14ac:knownFonts="1">
    <font>
      <color theme="1"/>
      <family val="2"/>
      <scheme val="minor"/>
      <sz val="11"/>
      <name val="Calibri"/>
    </font>
    <font>
      <b/>
      <sz val="14"/>
    </font>
    <font>
      <b/>
    </font>
    <font>
      <i/>
      <sz val="9"/>
    </font>
    <font>
      <sz val="9"/>
    </font>
  </fonts>
  <fills count="5">
    <fill>
      <patternFill patternType="none"/>
    </fill>
    <fill>
      <patternFill patternType="gray125"/>
    </fill>
    <fill>
      <patternFill patternType="solid">
        <fgColor rgb="FFEDEDED"/>
      </patternFill>
    </fill>
    <fill>
      <patternFill patternType="solid">
        <fgColor rgb="FFDCE9F7"/>
      </patternFill>
    </fill>
    <fill>
      <patternFill patternType="solid">
        <fgColor rgb="FFFFF2A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2" fillId="2" borderId="0" xfId="0" applyFont="1" applyFill="1"/>
    <xf numFmtId="3" fontId="0" fillId="3" borderId="0" xfId="0" applyNumberFormat="1" applyFill="1"/>
    <xf numFmtId="9" fontId="0" fillId="3" borderId="0" xfId="0" applyNumberFormat="1" applyFill="1"/>
    <xf numFmtId="164" fontId="0" fillId="3" borderId="0" xfId="0" applyNumberFormat="1" applyFill="1"/>
    <xf numFmtId="165" fontId="0" fillId="3" borderId="0" xfId="0" applyNumberFormat="1" applyFill="1"/>
    <xf numFmtId="164" fontId="0" fillId="0" borderId="0" xfId="0" applyNumberFormat="1"/>
    <xf numFmtId="3" fontId="0" fillId="0" borderId="0" xfId="0" applyNumberFormat="1"/>
    <xf numFmtId="166" fontId="2" fillId="4" borderId="0" xfId="0" applyNumberFormat="1" applyFont="1" applyFill="1"/>
    <xf numFmtId="0" fontId="3" fillId="0" borderId="0" xfId="0" applyFont="1"/>
    <xf numFmtId="0" fontId="2" fillId="0" borderId="0" xfId="0" applyFont="1"/>
    <xf numFmtId="166" fontId="0" fillId="0" borderId="0" xfId="0" applyNumberFormat="1"/>
    <xf numFmtId="165" fontId="2" fillId="3" borderId="0" xfId="0" applyNumberFormat="1" applyFont="1" applyFill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3"/>
  <sheetFormatPr defaultRowHeight="15" outlineLevelRow="0" outlineLevelCol="0" x14ac:dyDescent="55"/>
  <cols>
    <col min="1" max="1" width="46" customWidth="1"/>
    <col min="2" max="7" width="16" customWidth="1"/>
  </cols>
  <sheetData>
    <row r="1" spans="1:1" x14ac:dyDescent="0.25">
      <c r="A1" s="1" t="s">
        <v>0</v>
      </c>
    </row>
    <row r="3" spans="1:1" x14ac:dyDescent="0.25">
      <c r="A3" s="2" t="s">
        <v>1</v>
      </c>
    </row>
    <row r="4" spans="1:2" x14ac:dyDescent="0.25">
      <c r="A4" t="s">
        <v>2</v>
      </c>
      <c r="B4" s="3">
        <v>61000000000</v>
      </c>
    </row>
    <row r="5" spans="1:2" x14ac:dyDescent="0.25">
      <c r="A5" t="s">
        <v>3</v>
      </c>
      <c r="B5" s="4">
        <v>0.3</v>
      </c>
    </row>
    <row r="6" spans="1:2" x14ac:dyDescent="0.25">
      <c r="A6" t="s">
        <v>4</v>
      </c>
      <c r="B6" s="3">
        <v>12</v>
      </c>
    </row>
    <row r="7" spans="1:2" x14ac:dyDescent="0.25">
      <c r="A7" t="s">
        <v>5</v>
      </c>
      <c r="B7" s="5">
        <v>1500000000000</v>
      </c>
    </row>
    <row r="8" spans="1:2" x14ac:dyDescent="0.25">
      <c r="A8" t="s">
        <v>6</v>
      </c>
      <c r="B8" s="5">
        <v>50000000000</v>
      </c>
    </row>
    <row r="9" spans="1:2" x14ac:dyDescent="0.25">
      <c r="A9" t="s">
        <v>7</v>
      </c>
      <c r="B9" s="5">
        <v>10000000000</v>
      </c>
    </row>
    <row r="10" spans="1:2" x14ac:dyDescent="0.25">
      <c r="A10" t="s">
        <v>8</v>
      </c>
      <c r="B10" s="5">
        <v>60000000000</v>
      </c>
    </row>
    <row r="11" spans="1:2" x14ac:dyDescent="0.25">
      <c r="A11" t="s">
        <v>9</v>
      </c>
      <c r="B11" s="6">
        <v>2</v>
      </c>
    </row>
    <row r="12" spans="1:2" x14ac:dyDescent="0.25">
      <c r="A12" t="s">
        <v>10</v>
      </c>
      <c r="B12" s="4">
        <v>0.35</v>
      </c>
    </row>
    <row r="13" spans="1:2" x14ac:dyDescent="0.25">
      <c r="A13" t="s">
        <v>11</v>
      </c>
      <c r="B13" s="3">
        <v>3</v>
      </c>
    </row>
    <row r="15" spans="1:1" x14ac:dyDescent="0.25">
      <c r="A15" s="2" t="s">
        <v>12</v>
      </c>
    </row>
    <row r="16" spans="1:2" x14ac:dyDescent="0.25">
      <c r="A16" t="s">
        <v>13</v>
      </c>
      <c r="B16" s="7">
        <f>B7+B8+B9</f>
        <v>1560000000000</v>
      </c>
    </row>
    <row r="17" spans="1:2" x14ac:dyDescent="0.25">
      <c r="A17" t="s">
        <v>14</v>
      </c>
      <c r="B17" s="8">
        <f>B4*(1-B5)</f>
        <v>42700000000</v>
      </c>
    </row>
    <row r="18" spans="1:2" x14ac:dyDescent="0.25">
      <c r="A18" t="s">
        <v>15</v>
      </c>
      <c r="B18" s="7">
        <f>B16/B6</f>
        <v>130000000000</v>
      </c>
    </row>
    <row r="19" spans="1:2" x14ac:dyDescent="0.25">
      <c r="A19" t="s">
        <v>16</v>
      </c>
      <c r="B19" s="7">
        <f>B11*B10</f>
        <v>120000000000</v>
      </c>
    </row>
    <row r="20" spans="1:2" x14ac:dyDescent="0.25">
      <c r="A20" t="s">
        <v>17</v>
      </c>
      <c r="B20" s="9">
        <f>B18/B17+B19/B4</f>
        <v>5.011709601873536</v>
      </c>
    </row>
    <row r="21" spans="1:2" x14ac:dyDescent="0.25">
      <c r="A21" t="s">
        <v>18</v>
      </c>
      <c r="B21" s="7">
        <f>B20*B4</f>
        <v>305714285714.28564</v>
      </c>
    </row>
    <row r="22" spans="1:2" x14ac:dyDescent="0.25">
      <c r="A22" t="s">
        <v>19</v>
      </c>
      <c r="B22" s="9">
        <f>B20/(1+B12)^B13</f>
        <v>2.036969812273956</v>
      </c>
    </row>
    <row r="24" spans="1:1" x14ac:dyDescent="0.25">
      <c r="A24" s="10" t="s">
        <v>20</v>
      </c>
    </row>
    <row r="27" spans="1:1" x14ac:dyDescent="0.25">
      <c r="A27" s="2" t="s">
        <v>21</v>
      </c>
    </row>
    <row r="28" spans="1:5" x14ac:dyDescent="0.25">
      <c r="A28" s="11" t="s">
        <v>22</v>
      </c>
      <c r="B28" s="11" t="s">
        <v>23</v>
      </c>
      <c r="C28" s="11" t="s">
        <v>24</v>
      </c>
      <c r="D28" s="11" t="s">
        <v>25</v>
      </c>
      <c r="E28" s="11" t="s">
        <v>26</v>
      </c>
    </row>
    <row r="29" spans="1:5" x14ac:dyDescent="0.25">
      <c r="A29" t="s">
        <v>27</v>
      </c>
      <c r="B29" s="3">
        <v>62000000000</v>
      </c>
      <c r="C29" s="3">
        <v>61000000000</v>
      </c>
      <c r="D29" s="3">
        <v>62000000000</v>
      </c>
      <c r="E29" s="3">
        <v>63000000000</v>
      </c>
    </row>
    <row r="30" spans="1:5" x14ac:dyDescent="0.25">
      <c r="A30" t="s">
        <v>28</v>
      </c>
      <c r="B30" s="4">
        <v>0.25</v>
      </c>
      <c r="C30" s="4">
        <v>0.3</v>
      </c>
      <c r="D30" s="4">
        <v>0.3</v>
      </c>
      <c r="E30" s="4">
        <v>0.35</v>
      </c>
    </row>
    <row r="31" spans="1:5" x14ac:dyDescent="0.25">
      <c r="A31" t="s">
        <v>29</v>
      </c>
      <c r="B31" s="3">
        <v>8</v>
      </c>
      <c r="C31" s="3">
        <v>8</v>
      </c>
      <c r="D31" s="3">
        <v>12</v>
      </c>
      <c r="E31" s="3">
        <v>25</v>
      </c>
    </row>
    <row r="32" spans="1:5" x14ac:dyDescent="0.25">
      <c r="A32" t="s">
        <v>30</v>
      </c>
      <c r="B32" s="5">
        <v>60000000000</v>
      </c>
      <c r="C32" s="5">
        <v>1500000000000</v>
      </c>
      <c r="D32" s="5">
        <v>6000000000000</v>
      </c>
      <c r="E32" s="5">
        <v>25000000000000</v>
      </c>
    </row>
    <row r="33" spans="1:5" x14ac:dyDescent="0.25">
      <c r="A33" t="s">
        <v>31</v>
      </c>
      <c r="B33" s="5">
        <v>5000000000</v>
      </c>
      <c r="C33" s="5">
        <v>30000000000</v>
      </c>
      <c r="D33" s="5">
        <v>150000000000</v>
      </c>
      <c r="E33" s="5">
        <v>500000000000</v>
      </c>
    </row>
    <row r="34" spans="1:5" x14ac:dyDescent="0.25">
      <c r="A34" t="s">
        <v>32</v>
      </c>
      <c r="B34" s="5">
        <v>2000000000</v>
      </c>
      <c r="C34" s="5">
        <v>10000000000</v>
      </c>
      <c r="D34" s="5">
        <v>50000000000</v>
      </c>
      <c r="E34" s="5">
        <v>150000000000</v>
      </c>
    </row>
    <row r="35" spans="1:5" x14ac:dyDescent="0.25">
      <c r="A35" t="s">
        <v>33</v>
      </c>
      <c r="B35" s="5">
        <v>30000000000</v>
      </c>
      <c r="C35" s="5">
        <v>60000000000</v>
      </c>
      <c r="D35" s="5">
        <v>150000000000</v>
      </c>
      <c r="E35" s="5">
        <v>400000000000</v>
      </c>
    </row>
    <row r="36" spans="1:5" x14ac:dyDescent="0.25">
      <c r="A36" t="s">
        <v>34</v>
      </c>
      <c r="B36" s="6">
        <v>1</v>
      </c>
      <c r="C36" s="6">
        <v>1.5</v>
      </c>
      <c r="D36" s="6">
        <v>2.5</v>
      </c>
      <c r="E36" s="6">
        <v>4</v>
      </c>
    </row>
    <row r="37" spans="1:5" x14ac:dyDescent="0.25">
      <c r="A37" t="s">
        <v>35</v>
      </c>
      <c r="B37" s="4">
        <v>0.15</v>
      </c>
      <c r="C37" s="4">
        <v>0.35</v>
      </c>
      <c r="D37" s="4">
        <v>0.35</v>
      </c>
      <c r="E37" s="4">
        <v>0.15</v>
      </c>
    </row>
    <row r="38" spans="1:5" x14ac:dyDescent="0.25">
      <c r="A38" t="s">
        <v>36</v>
      </c>
      <c r="B38" s="9">
        <f>(B32+B33+B34)/((B29*(1-B30))*B31)+(B36*B35)/B29</f>
        <v>0.663978494623656</v>
      </c>
      <c r="C38" s="9">
        <f>(C32+C33+C34)/((C29*(1-C30))*C31)+(C36*C35)/C29</f>
        <v>5.983606557377049</v>
      </c>
      <c r="D38" s="9">
        <f>(D32+D33+D34)/((D29*(1-D30))*D31)+(D36*D35)/D29</f>
        <v>17.953149001536097</v>
      </c>
      <c r="E38" s="9">
        <f>(E32+E33+E34)/((E29*(1-E30))*E31)+(E36*E35)/E29</f>
        <v>50.45177045177045</v>
      </c>
    </row>
    <row r="39" spans="1:5" x14ac:dyDescent="0.25">
      <c r="A39" t="s">
        <v>37</v>
      </c>
      <c r="B39" s="7">
        <f>B38*B29</f>
        <v>41166666666.66667</v>
      </c>
      <c r="C39" s="7">
        <f>C38*C29</f>
        <v>365000000000</v>
      </c>
      <c r="D39" s="7">
        <f>D38*D29</f>
        <v>1113095238095.238</v>
      </c>
      <c r="E39" s="7">
        <f>E38*E29</f>
        <v>3178461538461.5386</v>
      </c>
    </row>
    <row r="40" spans="1:5" x14ac:dyDescent="0.25">
      <c r="A40" t="s">
        <v>38</v>
      </c>
      <c r="B40" s="12">
        <f>B38/(1+$B$12)^$B$13</f>
        <v>0.2698688186246633</v>
      </c>
      <c r="C40" s="12">
        <f>C38/(1+$B$12)^$B$13</f>
        <v>2.43198965904671</v>
      </c>
      <c r="D40" s="12">
        <f>D38/(1+$B$12)^$B$13</f>
        <v>7.296915714692311</v>
      </c>
      <c r="E40" s="12">
        <f>E38/(1+$B$12)^$B$13</f>
        <v>20.505723904596024</v>
      </c>
    </row>
    <row r="41" spans="1:2" x14ac:dyDescent="0.25">
      <c r="A41" s="11" t="s">
        <v>39</v>
      </c>
      <c r="B41" s="9">
        <f>SUMPRODUCT(B37:E37,B40:E40)/SUM(B37:E37)</f>
        <v>6.52145578929176</v>
      </c>
    </row>
    <row r="44" spans="1:1" x14ac:dyDescent="0.25">
      <c r="A44" s="2" t="s">
        <v>40</v>
      </c>
    </row>
    <row r="45" spans="1:6" x14ac:dyDescent="0.25">
      <c r="A45" s="11" t="s">
        <v>41</v>
      </c>
      <c r="B45" s="13">
        <v>1</v>
      </c>
      <c r="C45" s="13">
        <v>2</v>
      </c>
      <c r="D45" s="13">
        <v>3</v>
      </c>
      <c r="E45" s="13">
        <v>4</v>
      </c>
      <c r="F45" s="13">
        <v>6</v>
      </c>
    </row>
    <row r="46" spans="1:6" x14ac:dyDescent="0.25">
      <c r="A46" s="5">
        <v>500000000000</v>
      </c>
      <c r="B46" s="12">
        <f>($A46+$B$8+$B$9)/($B$17*$B$6)+(B$45*$B$10)/$B$4</f>
        <v>2.0765027322404372</v>
      </c>
      <c r="C46" s="12">
        <f>($A46+$B$8+$B$9)/($B$17*$B$6)+(C$45*$B$10)/$B$4</f>
        <v>3.060109289617486</v>
      </c>
      <c r="D46" s="12">
        <f>($A46+$B$8+$B$9)/($B$17*$B$6)+(D$45*$B$10)/$B$4</f>
        <v>4.043715846994536</v>
      </c>
      <c r="E46" s="12">
        <f>($A46+$B$8+$B$9)/($B$17*$B$6)+(E$45*$B$10)/$B$4</f>
        <v>5.027322404371585</v>
      </c>
      <c r="F46" s="12">
        <f>($A46+$B$8+$B$9)/($B$17*$B$6)+(F$45*$B$10)/$B$4</f>
        <v>6.994535519125684</v>
      </c>
    </row>
    <row r="47" spans="1:6" x14ac:dyDescent="0.25">
      <c r="A47" s="5">
        <v>1500000000000</v>
      </c>
      <c r="B47" s="12">
        <f>($A47+$B$8+$B$9)/($B$17*$B$6)+(B$45*$B$10)/$B$4</f>
        <v>4.028103044496487</v>
      </c>
      <c r="C47" s="12">
        <f>($A47+$B$8+$B$9)/($B$17*$B$6)+(C$45*$B$10)/$B$4</f>
        <v>5.011709601873536</v>
      </c>
      <c r="D47" s="12">
        <f>($A47+$B$8+$B$9)/($B$17*$B$6)+(D$45*$B$10)/$B$4</f>
        <v>5.995316159250585</v>
      </c>
      <c r="E47" s="12">
        <f>($A47+$B$8+$B$9)/($B$17*$B$6)+(E$45*$B$10)/$B$4</f>
        <v>6.978922716627634</v>
      </c>
      <c r="F47" s="12">
        <f>($A47+$B$8+$B$9)/($B$17*$B$6)+(F$45*$B$10)/$B$4</f>
        <v>8.946135831381733</v>
      </c>
    </row>
    <row r="48" spans="1:6" x14ac:dyDescent="0.25">
      <c r="A48" s="5">
        <v>3000000000000</v>
      </c>
      <c r="B48" s="12">
        <f>($A48+$B$8+$B$9)/($B$17*$B$6)+(B$45*$B$10)/$B$4</f>
        <v>6.955503512880562</v>
      </c>
      <c r="C48" s="12">
        <f>($A48+$B$8+$B$9)/($B$17*$B$6)+(C$45*$B$10)/$B$4</f>
        <v>7.939110070257611</v>
      </c>
      <c r="D48" s="12">
        <f>($A48+$B$8+$B$9)/($B$17*$B$6)+(D$45*$B$10)/$B$4</f>
        <v>8.92271662763466</v>
      </c>
      <c r="E48" s="12">
        <f>($A48+$B$8+$B$9)/($B$17*$B$6)+(E$45*$B$10)/$B$4</f>
        <v>9.90632318501171</v>
      </c>
      <c r="F48" s="12">
        <f>($A48+$B$8+$B$9)/($B$17*$B$6)+(F$45*$B$10)/$B$4</f>
        <v>11.873536299765808</v>
      </c>
    </row>
    <row r="49" spans="1:6" x14ac:dyDescent="0.25">
      <c r="A49" s="5">
        <v>6000000000000</v>
      </c>
      <c r="B49" s="12">
        <f>($A49+$B$8+$B$9)/($B$17*$B$6)+(B$45*$B$10)/$B$4</f>
        <v>12.810304449648712</v>
      </c>
      <c r="C49" s="12">
        <f>($A49+$B$8+$B$9)/($B$17*$B$6)+(C$45*$B$10)/$B$4</f>
        <v>13.793911007025761</v>
      </c>
      <c r="D49" s="12">
        <f>($A49+$B$8+$B$9)/($B$17*$B$6)+(D$45*$B$10)/$B$4</f>
        <v>14.77751756440281</v>
      </c>
      <c r="E49" s="12">
        <f>($A49+$B$8+$B$9)/($B$17*$B$6)+(E$45*$B$10)/$B$4</f>
        <v>15.761124121779858</v>
      </c>
      <c r="F49" s="12">
        <f>($A49+$B$8+$B$9)/($B$17*$B$6)+(F$45*$B$10)/$B$4</f>
        <v>17.728337236533957</v>
      </c>
    </row>
    <row r="50" spans="1:6" x14ac:dyDescent="0.25">
      <c r="A50" s="5">
        <v>10000000000000</v>
      </c>
      <c r="B50" s="12">
        <f>($A50+$B$8+$B$9)/($B$17*$B$6)+(B$45*$B$10)/$B$4</f>
        <v>20.61670569867291</v>
      </c>
      <c r="C50" s="12">
        <f>($A50+$B$8+$B$9)/($B$17*$B$6)+(C$45*$B$10)/$B$4</f>
        <v>21.60031225604996</v>
      </c>
      <c r="D50" s="12">
        <f>($A50+$B$8+$B$9)/($B$17*$B$6)+(D$45*$B$10)/$B$4</f>
        <v>22.583918813427008</v>
      </c>
      <c r="E50" s="12">
        <f>($A50+$B$8+$B$9)/($B$17*$B$6)+(E$45*$B$10)/$B$4</f>
        <v>23.56752537080406</v>
      </c>
      <c r="F50" s="12">
        <f>($A50+$B$8+$B$9)/($B$17*$B$6)+(F$45*$B$10)/$B$4</f>
        <v>25.534738485558158</v>
      </c>
    </row>
    <row r="51" spans="1:6" x14ac:dyDescent="0.25">
      <c r="A51" s="5">
        <v>25000000000000</v>
      </c>
      <c r="B51" s="12">
        <f>($A51+$B$8+$B$9)/($B$17*$B$6)+(B$45*$B$10)/$B$4</f>
        <v>49.89071038251366</v>
      </c>
      <c r="C51" s="12">
        <f>($A51+$B$8+$B$9)/($B$17*$B$6)+(C$45*$B$10)/$B$4</f>
        <v>50.874316939890704</v>
      </c>
      <c r="D51" s="12">
        <f>($A51+$B$8+$B$9)/($B$17*$B$6)+(D$45*$B$10)/$B$4</f>
        <v>51.857923497267755</v>
      </c>
      <c r="E51" s="12">
        <f>($A51+$B$8+$B$9)/($B$17*$B$6)+(E$45*$B$10)/$B$4</f>
        <v>52.84153005464481</v>
      </c>
      <c r="F51" s="12">
        <f>($A51+$B$8+$B$9)/($B$17*$B$6)+(F$45*$B$10)/$B$4</f>
        <v>54.8087431693989</v>
      </c>
    </row>
    <row r="53" spans="1:1" x14ac:dyDescent="0.25">
      <c r="A53" s="10" t="s">
        <v>42</v>
      </c>
    </row>
    <row r="56" spans="1:1" x14ac:dyDescent="0.25">
      <c r="A56" s="2" t="s">
        <v>43</v>
      </c>
    </row>
    <row r="57" spans="1:1" x14ac:dyDescent="0.25">
      <c r="A57" s="14" t="s">
        <v>44</v>
      </c>
    </row>
    <row r="58" spans="1:1" x14ac:dyDescent="0.25">
      <c r="A58" s="14" t="s">
        <v>45</v>
      </c>
    </row>
    <row r="59" spans="1:1" x14ac:dyDescent="0.25">
      <c r="A59" s="14" t="s">
        <v>46</v>
      </c>
    </row>
    <row r="60" spans="1:1" x14ac:dyDescent="0.25">
      <c r="A60" s="14" t="s">
        <v>47</v>
      </c>
    </row>
    <row r="61" spans="1:1" x14ac:dyDescent="0.25">
      <c r="A61" s="14" t="s">
        <v>48</v>
      </c>
    </row>
    <row r="62" spans="1:1" x14ac:dyDescent="0.25">
      <c r="A62" s="14" t="s">
        <v>49</v>
      </c>
    </row>
    <row r="63" spans="1:1" x14ac:dyDescent="0.25">
      <c r="A63" s="14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XRP Valuation Model v2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2026-07-06T14:16:29Z</dcterms:created>
  <dcterms:modified xsi:type="dcterms:W3CDTF">2026-07-06T14:16:29Z</dcterms:modified>
</cp:coreProperties>
</file>